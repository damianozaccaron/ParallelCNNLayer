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1kernel" sheetId="1" r:id="rId4"/>
  </sheets>
  <definedNames/>
  <calcPr/>
</workbook>
</file>

<file path=xl/sharedStrings.xml><?xml version="1.0" encoding="utf-8"?>
<sst xmlns="http://schemas.openxmlformats.org/spreadsheetml/2006/main" count="17" uniqueCount="17">
  <si>
    <t>n</t>
  </si>
  <si>
    <t>Sequential Time (microseconds)</t>
  </si>
  <si>
    <t>2 eff</t>
  </si>
  <si>
    <t>4 eff</t>
  </si>
  <si>
    <t>8 eff</t>
  </si>
  <si>
    <t>16 eff</t>
  </si>
  <si>
    <t>32 eff</t>
  </si>
  <si>
    <t>64 eff</t>
  </si>
  <si>
    <t>128 eff</t>
  </si>
  <si>
    <t xml:space="preserve"> 2 s</t>
  </si>
  <si>
    <t>4 s</t>
  </si>
  <si>
    <t>8 s</t>
  </si>
  <si>
    <t>16 s</t>
  </si>
  <si>
    <t>32 s</t>
  </si>
  <si>
    <t>64 s</t>
  </si>
  <si>
    <t>128 s</t>
  </si>
  <si>
    <t>matsize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</si>
</sst>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2.0</v>
      </c>
      <c r="D1" s="2">
        <v>4.0</v>
      </c>
      <c r="E1" s="2">
        <v>8.0</v>
      </c>
      <c r="F1" s="2">
        <v>16.0</v>
      </c>
      <c r="G1" s="2">
        <v>32.0</v>
      </c>
      <c r="H1" s="2">
        <v>64.0</v>
      </c>
      <c r="I1" s="2">
        <v>128.0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1" t="s">
        <v>16</v>
      </c>
    </row>
    <row r="2">
      <c r="A2" s="1">
        <v>6.0</v>
      </c>
      <c r="B2" s="1">
        <v>0.18</v>
      </c>
      <c r="C2" s="1">
        <v>0.465158</v>
      </c>
      <c r="D2" s="1">
        <v>0.269826</v>
      </c>
      <c r="E2" s="1">
        <v>0.137988</v>
      </c>
      <c r="F2" s="1">
        <v>0.067234</v>
      </c>
      <c r="G2" s="1">
        <v>0.03753</v>
      </c>
      <c r="H2" s="1">
        <v>0.033015</v>
      </c>
      <c r="I2" s="1">
        <v>0.016218</v>
      </c>
      <c r="J2" s="4">
        <f t="shared" ref="J2:P2" si="1"> ($B2 / (C2*C$1))</f>
        <v>0.1934826446</v>
      </c>
      <c r="K2" s="4">
        <f t="shared" si="1"/>
        <v>0.1667741433</v>
      </c>
      <c r="L2" s="4">
        <f t="shared" si="1"/>
        <v>0.1630576572</v>
      </c>
      <c r="M2" s="4">
        <f t="shared" si="1"/>
        <v>0.1673260553</v>
      </c>
      <c r="N2" s="4">
        <f t="shared" si="1"/>
        <v>0.1498800959</v>
      </c>
      <c r="O2" s="4">
        <f t="shared" si="1"/>
        <v>0.08518855066</v>
      </c>
      <c r="P2" s="4">
        <f t="shared" si="1"/>
        <v>0.08670921199</v>
      </c>
      <c r="Q2" s="4">
        <f t="shared" ref="Q2:W2" si="2"> J2 * C$1</f>
        <v>0.3869652892</v>
      </c>
      <c r="R2" s="4">
        <f t="shared" si="2"/>
        <v>0.6670965733</v>
      </c>
      <c r="S2" s="4">
        <f t="shared" si="2"/>
        <v>1.304461258</v>
      </c>
      <c r="T2" s="4">
        <f t="shared" si="2"/>
        <v>2.677216884</v>
      </c>
      <c r="U2" s="4">
        <f t="shared" si="2"/>
        <v>4.79616307</v>
      </c>
      <c r="V2" s="4">
        <f t="shared" si="2"/>
        <v>5.452067242</v>
      </c>
      <c r="W2" s="4">
        <f t="shared" si="2"/>
        <v>11.09877913</v>
      </c>
      <c r="X2" s="4">
        <f t="shared" ref="X2:X9" si="5"> 2 ^ (A2)</f>
        <v>64</v>
      </c>
    </row>
    <row r="3">
      <c r="A3" s="1">
        <v>7.0</v>
      </c>
      <c r="B3" s="1">
        <v>0.71</v>
      </c>
      <c r="C3" s="1">
        <v>1.324703</v>
      </c>
      <c r="D3" s="1">
        <v>0.795311</v>
      </c>
      <c r="E3" s="1">
        <v>0.396513</v>
      </c>
      <c r="F3" s="1">
        <v>0.191825</v>
      </c>
      <c r="G3" s="1">
        <v>0.097071</v>
      </c>
      <c r="H3" s="1">
        <v>0.057106</v>
      </c>
      <c r="I3" s="1">
        <v>0.033489</v>
      </c>
      <c r="J3" s="4">
        <f t="shared" ref="J3:P3" si="3"> ($B3 / (C3*C$1))</f>
        <v>0.2679845973</v>
      </c>
      <c r="K3" s="4">
        <f t="shared" si="3"/>
        <v>0.2231831321</v>
      </c>
      <c r="L3" s="4">
        <f t="shared" si="3"/>
        <v>0.2238262049</v>
      </c>
      <c r="M3" s="4">
        <f t="shared" si="3"/>
        <v>0.2313306399</v>
      </c>
      <c r="N3" s="4">
        <f t="shared" si="3"/>
        <v>0.2285698097</v>
      </c>
      <c r="O3" s="4">
        <f t="shared" si="3"/>
        <v>0.1942659265</v>
      </c>
      <c r="P3" s="4">
        <f t="shared" si="3"/>
        <v>0.1656327451</v>
      </c>
      <c r="Q3" s="4">
        <f t="shared" ref="Q3:W3" si="4"> J3 * C$1</f>
        <v>0.5359691946</v>
      </c>
      <c r="R3" s="4">
        <f t="shared" si="4"/>
        <v>0.8927325285</v>
      </c>
      <c r="S3" s="4">
        <f t="shared" si="4"/>
        <v>1.79060964</v>
      </c>
      <c r="T3" s="4">
        <f t="shared" si="4"/>
        <v>3.701290238</v>
      </c>
      <c r="U3" s="4">
        <f t="shared" si="4"/>
        <v>7.314233911</v>
      </c>
      <c r="V3" s="4">
        <f t="shared" si="4"/>
        <v>12.4330193</v>
      </c>
      <c r="W3" s="4">
        <f t="shared" si="4"/>
        <v>21.20099137</v>
      </c>
      <c r="X3" s="4">
        <f t="shared" si="5"/>
        <v>128</v>
      </c>
    </row>
    <row r="4">
      <c r="A4" s="1">
        <v>8.0</v>
      </c>
      <c r="B4" s="1">
        <v>2.85</v>
      </c>
      <c r="C4" s="1">
        <v>4.913004</v>
      </c>
      <c r="D4" s="1">
        <v>3.098245</v>
      </c>
      <c r="E4" s="1">
        <v>1.539134</v>
      </c>
      <c r="F4" s="1">
        <v>0.760097</v>
      </c>
      <c r="G4" s="1">
        <v>0.373428</v>
      </c>
      <c r="H4" s="1">
        <v>0.154398</v>
      </c>
      <c r="I4" s="1">
        <v>0.125257</v>
      </c>
      <c r="J4" s="4">
        <f t="shared" ref="J4:P4" si="6"> ($B4 / (C4*C$1))</f>
        <v>0.2900465784</v>
      </c>
      <c r="K4" s="4">
        <f t="shared" si="6"/>
        <v>0.2299689017</v>
      </c>
      <c r="L4" s="4">
        <f t="shared" si="6"/>
        <v>0.2314613283</v>
      </c>
      <c r="M4" s="4">
        <f t="shared" si="6"/>
        <v>0.2343450902</v>
      </c>
      <c r="N4" s="4">
        <f t="shared" si="6"/>
        <v>0.2384997911</v>
      </c>
      <c r="O4" s="4">
        <f t="shared" si="6"/>
        <v>0.2884185676</v>
      </c>
      <c r="P4" s="4">
        <f t="shared" si="6"/>
        <v>0.1777595264</v>
      </c>
      <c r="Q4" s="4">
        <f t="shared" ref="Q4:W4" si="7"> J4 * C$1</f>
        <v>0.5800931569</v>
      </c>
      <c r="R4" s="4">
        <f t="shared" si="7"/>
        <v>0.919875607</v>
      </c>
      <c r="S4" s="4">
        <f t="shared" si="7"/>
        <v>1.851690626</v>
      </c>
      <c r="T4" s="4">
        <f t="shared" si="7"/>
        <v>3.749521443</v>
      </c>
      <c r="U4" s="4">
        <f t="shared" si="7"/>
        <v>7.631993316</v>
      </c>
      <c r="V4" s="4">
        <f t="shared" si="7"/>
        <v>18.45878833</v>
      </c>
      <c r="W4" s="4">
        <f t="shared" si="7"/>
        <v>22.75321938</v>
      </c>
      <c r="X4" s="4">
        <f t="shared" si="5"/>
        <v>256</v>
      </c>
    </row>
    <row r="5">
      <c r="A5" s="1">
        <v>9.0</v>
      </c>
      <c r="B5" s="1">
        <v>11.52</v>
      </c>
      <c r="C5" s="1">
        <v>18.408474</v>
      </c>
      <c r="D5" s="1">
        <v>11.281661</v>
      </c>
      <c r="E5" s="1">
        <v>5.675656</v>
      </c>
      <c r="F5" s="1">
        <v>2.800242</v>
      </c>
      <c r="G5" s="1">
        <v>1.409426</v>
      </c>
      <c r="H5" s="1">
        <v>0.455827</v>
      </c>
      <c r="I5" s="1">
        <v>0.444629</v>
      </c>
      <c r="J5" s="4">
        <f t="shared" ref="J5:P5" si="8"> ($B5 / (C5*C$1))</f>
        <v>0.3128993745</v>
      </c>
      <c r="K5" s="4">
        <f t="shared" si="8"/>
        <v>0.2552815583</v>
      </c>
      <c r="L5" s="4">
        <f t="shared" si="8"/>
        <v>0.2537151653</v>
      </c>
      <c r="M5" s="4">
        <f t="shared" si="8"/>
        <v>0.2571206346</v>
      </c>
      <c r="N5" s="4">
        <f t="shared" si="8"/>
        <v>0.2554231297</v>
      </c>
      <c r="O5" s="4">
        <f t="shared" si="8"/>
        <v>0.3948866566</v>
      </c>
      <c r="P5" s="4">
        <f t="shared" si="8"/>
        <v>0.2024159468</v>
      </c>
      <c r="Q5" s="4">
        <f t="shared" ref="Q5:W5" si="9"> J5 * C$1</f>
        <v>0.625798749</v>
      </c>
      <c r="R5" s="4">
        <f t="shared" si="9"/>
        <v>1.021126233</v>
      </c>
      <c r="S5" s="4">
        <f t="shared" si="9"/>
        <v>2.029721322</v>
      </c>
      <c r="T5" s="4">
        <f t="shared" si="9"/>
        <v>4.113930153</v>
      </c>
      <c r="U5" s="4">
        <f t="shared" si="9"/>
        <v>8.17354015</v>
      </c>
      <c r="V5" s="4">
        <f t="shared" si="9"/>
        <v>25.27274602</v>
      </c>
      <c r="W5" s="4">
        <f t="shared" si="9"/>
        <v>25.90924119</v>
      </c>
      <c r="X5" s="4">
        <f t="shared" si="5"/>
        <v>512</v>
      </c>
    </row>
    <row r="6">
      <c r="A6" s="1">
        <v>10.0</v>
      </c>
      <c r="B6" s="1">
        <v>46.17</v>
      </c>
      <c r="C6" s="1">
        <v>71.000417</v>
      </c>
      <c r="D6" s="1">
        <v>42.50121</v>
      </c>
      <c r="E6" s="1">
        <v>21.277598</v>
      </c>
      <c r="F6" s="1">
        <v>10.579992</v>
      </c>
      <c r="G6" s="1">
        <v>5.321502</v>
      </c>
      <c r="H6" s="1">
        <v>1.640868</v>
      </c>
      <c r="I6" s="1">
        <v>1.651392</v>
      </c>
      <c r="J6" s="4">
        <f t="shared" ref="J6:P6" si="10"> ($B6 / (C6*C$1))</f>
        <v>0.3251389355</v>
      </c>
      <c r="K6" s="4">
        <f t="shared" si="10"/>
        <v>0.2715805032</v>
      </c>
      <c r="L6" s="4">
        <f t="shared" si="10"/>
        <v>0.2712359732</v>
      </c>
      <c r="M6" s="4">
        <f t="shared" si="10"/>
        <v>0.27274359</v>
      </c>
      <c r="N6" s="4">
        <f t="shared" si="10"/>
        <v>0.2711288091</v>
      </c>
      <c r="O6" s="4">
        <f t="shared" si="10"/>
        <v>0.4396491674</v>
      </c>
      <c r="P6" s="4">
        <f t="shared" si="10"/>
        <v>0.2184236844</v>
      </c>
      <c r="Q6" s="4">
        <f t="shared" ref="Q6:W6" si="11"> J6 * C$1</f>
        <v>0.6502778709</v>
      </c>
      <c r="R6" s="4">
        <f t="shared" si="11"/>
        <v>1.086322013</v>
      </c>
      <c r="S6" s="4">
        <f t="shared" si="11"/>
        <v>2.169887785</v>
      </c>
      <c r="T6" s="4">
        <f t="shared" si="11"/>
        <v>4.36389744</v>
      </c>
      <c r="U6" s="4">
        <f t="shared" si="11"/>
        <v>8.676121892</v>
      </c>
      <c r="V6" s="4">
        <f t="shared" si="11"/>
        <v>28.13754671</v>
      </c>
      <c r="W6" s="4">
        <f t="shared" si="11"/>
        <v>27.9582316</v>
      </c>
      <c r="X6" s="4">
        <f t="shared" si="5"/>
        <v>1024</v>
      </c>
    </row>
    <row r="7">
      <c r="A7" s="1">
        <v>11.0</v>
      </c>
      <c r="B7" s="1">
        <v>184.68</v>
      </c>
      <c r="C7" s="1">
        <v>278.799762</v>
      </c>
      <c r="D7" s="1">
        <v>163.929649</v>
      </c>
      <c r="E7" s="1">
        <v>82.174432</v>
      </c>
      <c r="F7" s="1">
        <v>41.014323</v>
      </c>
      <c r="G7" s="1">
        <v>20.620861</v>
      </c>
      <c r="H7" s="1">
        <v>4.723325</v>
      </c>
      <c r="I7" s="1">
        <v>6.239809</v>
      </c>
      <c r="J7" s="4">
        <f t="shared" ref="J7:P7" si="12"> ($B7 / (C7*C$1))</f>
        <v>0.3312054477</v>
      </c>
      <c r="K7" s="4">
        <f t="shared" si="12"/>
        <v>0.2816452075</v>
      </c>
      <c r="L7" s="4">
        <f t="shared" si="12"/>
        <v>0.2809267973</v>
      </c>
      <c r="M7" s="4">
        <f t="shared" si="12"/>
        <v>0.2814260764</v>
      </c>
      <c r="N7" s="4">
        <f t="shared" si="12"/>
        <v>0.2798743467</v>
      </c>
      <c r="O7" s="4">
        <f t="shared" si="12"/>
        <v>0.6109308591</v>
      </c>
      <c r="P7" s="4">
        <f t="shared" si="12"/>
        <v>0.2312270295</v>
      </c>
      <c r="Q7" s="4">
        <f t="shared" ref="Q7:W7" si="13"> J7 * C$1</f>
        <v>0.6624108955</v>
      </c>
      <c r="R7" s="4">
        <f t="shared" si="13"/>
        <v>1.12658083</v>
      </c>
      <c r="S7" s="4">
        <f t="shared" si="13"/>
        <v>2.247414378</v>
      </c>
      <c r="T7" s="4">
        <f t="shared" si="13"/>
        <v>4.502817223</v>
      </c>
      <c r="U7" s="4">
        <f t="shared" si="13"/>
        <v>8.955979093</v>
      </c>
      <c r="V7" s="4">
        <f t="shared" si="13"/>
        <v>39.09957498</v>
      </c>
      <c r="W7" s="4">
        <f t="shared" si="13"/>
        <v>29.59705978</v>
      </c>
      <c r="X7" s="4">
        <f t="shared" si="5"/>
        <v>2048</v>
      </c>
    </row>
    <row r="8">
      <c r="A8" s="1">
        <v>12.0</v>
      </c>
      <c r="B8" s="1">
        <v>739.25</v>
      </c>
      <c r="C8" s="1">
        <v>1104.821788</v>
      </c>
      <c r="D8" s="1">
        <v>649.096609</v>
      </c>
      <c r="E8" s="1">
        <v>322.908041</v>
      </c>
      <c r="F8" s="1">
        <v>161.465955</v>
      </c>
      <c r="G8" s="1">
        <v>81.079023</v>
      </c>
      <c r="H8" s="1">
        <v>17.940789</v>
      </c>
      <c r="I8" s="1">
        <v>24.69476</v>
      </c>
      <c r="J8" s="4">
        <f t="shared" ref="J8:P8" si="14"> ($B8 / (C8*C$1))</f>
        <v>0.3345562189</v>
      </c>
      <c r="K8" s="4">
        <f t="shared" si="14"/>
        <v>0.2847226398</v>
      </c>
      <c r="L8" s="4">
        <f t="shared" si="14"/>
        <v>0.2861689344</v>
      </c>
      <c r="M8" s="4">
        <f t="shared" si="14"/>
        <v>0.2861477827</v>
      </c>
      <c r="N8" s="4">
        <f t="shared" si="14"/>
        <v>0.2849265031</v>
      </c>
      <c r="O8" s="4">
        <f t="shared" si="14"/>
        <v>0.6438279415</v>
      </c>
      <c r="P8" s="4">
        <f t="shared" si="14"/>
        <v>0.2338710976</v>
      </c>
      <c r="Q8" s="4">
        <f t="shared" ref="Q8:W8" si="15"> J8 * C$1</f>
        <v>0.6691124379</v>
      </c>
      <c r="R8" s="4">
        <f t="shared" si="15"/>
        <v>1.138890559</v>
      </c>
      <c r="S8" s="4">
        <f t="shared" si="15"/>
        <v>2.289351475</v>
      </c>
      <c r="T8" s="4">
        <f t="shared" si="15"/>
        <v>4.578364523</v>
      </c>
      <c r="U8" s="4">
        <f t="shared" si="15"/>
        <v>9.1176481</v>
      </c>
      <c r="V8" s="4">
        <f t="shared" si="15"/>
        <v>41.20498825</v>
      </c>
      <c r="W8" s="4">
        <f t="shared" si="15"/>
        <v>29.93550049</v>
      </c>
      <c r="X8" s="4">
        <f t="shared" si="5"/>
        <v>4096</v>
      </c>
    </row>
    <row r="9">
      <c r="A9" s="1">
        <v>13.0</v>
      </c>
      <c r="B9" s="1">
        <v>2955.93</v>
      </c>
      <c r="C9" s="1">
        <v>4399.598436</v>
      </c>
      <c r="D9" s="1">
        <v>2566.155379</v>
      </c>
      <c r="E9" s="1">
        <v>1282.863759</v>
      </c>
      <c r="F9" s="1">
        <v>640.635686</v>
      </c>
      <c r="G9" s="1">
        <v>322.512305</v>
      </c>
      <c r="H9" s="1">
        <v>72.491659</v>
      </c>
      <c r="I9" s="1">
        <v>97.729747</v>
      </c>
      <c r="J9" s="4">
        <f t="shared" ref="J9:P9" si="16"> ($B9 / (C9*C$1))</f>
        <v>0.335931795</v>
      </c>
      <c r="K9" s="4">
        <f t="shared" si="16"/>
        <v>0.2879726247</v>
      </c>
      <c r="L9" s="4">
        <f t="shared" si="16"/>
        <v>0.2880206471</v>
      </c>
      <c r="M9" s="4">
        <f t="shared" si="16"/>
        <v>0.2883786043</v>
      </c>
      <c r="N9" s="4">
        <f t="shared" si="16"/>
        <v>0.2864163974</v>
      </c>
      <c r="O9" s="4">
        <f t="shared" si="16"/>
        <v>0.6371271797</v>
      </c>
      <c r="P9" s="4">
        <f t="shared" si="16"/>
        <v>0.236296561</v>
      </c>
      <c r="Q9" s="4">
        <f t="shared" ref="Q9:W9" si="17"> J9 * C$1</f>
        <v>0.6718635901</v>
      </c>
      <c r="R9" s="4">
        <f t="shared" si="17"/>
        <v>1.151890499</v>
      </c>
      <c r="S9" s="4">
        <f t="shared" si="17"/>
        <v>2.304165177</v>
      </c>
      <c r="T9" s="4">
        <f t="shared" si="17"/>
        <v>4.614057669</v>
      </c>
      <c r="U9" s="4">
        <f t="shared" si="17"/>
        <v>9.165324715</v>
      </c>
      <c r="V9" s="4">
        <f t="shared" si="17"/>
        <v>40.7761395</v>
      </c>
      <c r="W9" s="4">
        <f t="shared" si="17"/>
        <v>30.24595981</v>
      </c>
      <c r="X9" s="4">
        <f t="shared" si="5"/>
        <v>8192</v>
      </c>
    </row>
  </sheetData>
  <drawing r:id="rId1"/>
</worksheet>
</file>