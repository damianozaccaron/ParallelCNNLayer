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cores" sheetId="1" r:id="rId4"/>
  </sheets>
  <definedNames/>
  <calcPr/>
</workbook>
</file>

<file path=xl/sharedStrings.xml><?xml version="1.0" encoding="utf-8"?>
<sst xmlns="http://schemas.openxmlformats.org/spreadsheetml/2006/main" count="17" uniqueCount="17">
  <si>
    <t>n</t>
  </si>
  <si>
    <t>Sequential Time (microseconds)</t>
  </si>
  <si>
    <t>2 eff</t>
  </si>
  <si>
    <t>4 eff</t>
  </si>
  <si>
    <t>8 eff</t>
  </si>
  <si>
    <t>16 eff</t>
  </si>
  <si>
    <t>32 eff</t>
  </si>
  <si>
    <t>64 eff</t>
  </si>
  <si>
    <t>128 eff</t>
  </si>
  <si>
    <t xml:space="preserve"> 2 s</t>
  </si>
  <si>
    <t>4 s</t>
  </si>
  <si>
    <t>8 s</t>
  </si>
  <si>
    <t>16 s</t>
  </si>
  <si>
    <t>32 s</t>
  </si>
  <si>
    <t>64 s</t>
  </si>
  <si>
    <t>128 s</t>
  </si>
  <si>
    <t>matsize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</si>
</sst>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2.0</v>
      </c>
      <c r="D1" s="1">
        <v>4.0</v>
      </c>
      <c r="E1" s="1">
        <v>8.0</v>
      </c>
      <c r="F1" s="1">
        <v>16.0</v>
      </c>
      <c r="G1" s="1">
        <v>32.0</v>
      </c>
      <c r="H1" s="1">
        <v>64.0</v>
      </c>
      <c r="I1" s="1">
        <v>128.0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</row>
    <row r="2">
      <c r="A2" s="1">
        <v>6.0</v>
      </c>
      <c r="B2" s="1">
        <v>0.01</v>
      </c>
      <c r="C2" s="1">
        <v>0.02598</v>
      </c>
      <c r="D2" s="1">
        <v>0.01262</v>
      </c>
      <c r="E2" s="1">
        <v>0.006553</v>
      </c>
      <c r="F2" s="1">
        <v>0.003977</v>
      </c>
      <c r="G2" s="1">
        <v>0.002275</v>
      </c>
      <c r="H2" s="1">
        <v>0.025026</v>
      </c>
      <c r="I2" s="1">
        <v>0.0012</v>
      </c>
      <c r="J2" s="2">
        <f t="shared" ref="J2:P2" si="1"> ($B2 / (C2*C$1))</f>
        <v>0.1924557352</v>
      </c>
      <c r="K2" s="2">
        <f t="shared" si="1"/>
        <v>0.1980982567</v>
      </c>
      <c r="L2" s="2">
        <f t="shared" si="1"/>
        <v>0.1907523272</v>
      </c>
      <c r="M2" s="2">
        <f t="shared" si="1"/>
        <v>0.1571536334</v>
      </c>
      <c r="N2" s="2">
        <f t="shared" si="1"/>
        <v>0.1373626374</v>
      </c>
      <c r="O2" s="2">
        <f t="shared" si="1"/>
        <v>0.006243506753</v>
      </c>
      <c r="P2" s="2">
        <f t="shared" si="1"/>
        <v>0.06510416667</v>
      </c>
      <c r="Q2" s="3">
        <f t="shared" ref="Q2:W2" si="2"> J2 * C$1</f>
        <v>0.3849114704</v>
      </c>
      <c r="R2" s="3">
        <f t="shared" si="2"/>
        <v>0.7923930269</v>
      </c>
      <c r="S2" s="3">
        <f t="shared" si="2"/>
        <v>1.526018617</v>
      </c>
      <c r="T2" s="3">
        <f t="shared" si="2"/>
        <v>2.514458134</v>
      </c>
      <c r="U2" s="3">
        <f t="shared" si="2"/>
        <v>4.395604396</v>
      </c>
      <c r="V2" s="3">
        <f t="shared" si="2"/>
        <v>0.3995844322</v>
      </c>
      <c r="W2" s="3">
        <f t="shared" si="2"/>
        <v>8.333333333</v>
      </c>
      <c r="X2" s="4">
        <f t="shared" ref="X2:X9" si="5"> 2 ^ (A2)</f>
        <v>64</v>
      </c>
    </row>
    <row r="3">
      <c r="A3" s="1">
        <v>7.0</v>
      </c>
      <c r="B3" s="1">
        <v>0.04</v>
      </c>
      <c r="C3" s="1">
        <v>0.098437</v>
      </c>
      <c r="D3" s="1">
        <v>0.044704</v>
      </c>
      <c r="E3" s="1">
        <v>0.022863</v>
      </c>
      <c r="F3" s="1">
        <v>0.012569</v>
      </c>
      <c r="G3" s="1">
        <v>0.007255</v>
      </c>
      <c r="H3" s="1">
        <v>0.037585</v>
      </c>
      <c r="I3" s="1">
        <v>0.003706</v>
      </c>
      <c r="J3" s="2">
        <f t="shared" ref="J3:P3" si="3"> ($B3 / (C3*C$1))</f>
        <v>0.2031756352</v>
      </c>
      <c r="K3" s="2">
        <f t="shared" si="3"/>
        <v>0.2236936292</v>
      </c>
      <c r="L3" s="2">
        <f t="shared" si="3"/>
        <v>0.2186939597</v>
      </c>
      <c r="M3" s="2">
        <f t="shared" si="3"/>
        <v>0.1989020606</v>
      </c>
      <c r="N3" s="2">
        <f t="shared" si="3"/>
        <v>0.172294969</v>
      </c>
      <c r="O3" s="2">
        <f t="shared" si="3"/>
        <v>0.01662897432</v>
      </c>
      <c r="P3" s="2">
        <f t="shared" si="3"/>
        <v>0.08432271991</v>
      </c>
      <c r="Q3" s="3">
        <f t="shared" ref="Q3:W3" si="4"> J3 * C$1</f>
        <v>0.4063512704</v>
      </c>
      <c r="R3" s="3">
        <f t="shared" si="4"/>
        <v>0.8947745168</v>
      </c>
      <c r="S3" s="3">
        <f t="shared" si="4"/>
        <v>1.749551677</v>
      </c>
      <c r="T3" s="3">
        <f t="shared" si="4"/>
        <v>3.18243297</v>
      </c>
      <c r="U3" s="3">
        <f t="shared" si="4"/>
        <v>5.513439008</v>
      </c>
      <c r="V3" s="3">
        <f t="shared" si="4"/>
        <v>1.064254357</v>
      </c>
      <c r="W3" s="3">
        <f t="shared" si="4"/>
        <v>10.79330815</v>
      </c>
      <c r="X3" s="4">
        <f t="shared" si="5"/>
        <v>128</v>
      </c>
    </row>
    <row r="4">
      <c r="A4" s="1">
        <v>8.0</v>
      </c>
      <c r="B4" s="1">
        <v>0.17</v>
      </c>
      <c r="C4" s="1">
        <v>0.383182</v>
      </c>
      <c r="D4" s="1">
        <v>0.168906</v>
      </c>
      <c r="E4" s="1">
        <v>0.086016</v>
      </c>
      <c r="F4" s="1">
        <v>0.048329</v>
      </c>
      <c r="G4" s="1">
        <v>0.025977</v>
      </c>
      <c r="H4" s="1">
        <v>0.074544</v>
      </c>
      <c r="I4" s="1">
        <v>0.012177</v>
      </c>
      <c r="J4" s="2">
        <f t="shared" ref="J4:P4" si="6"> ($B4 / (C4*C$1))</f>
        <v>0.2218267038</v>
      </c>
      <c r="K4" s="2">
        <f t="shared" si="6"/>
        <v>0.2516192438</v>
      </c>
      <c r="L4" s="2">
        <f t="shared" si="6"/>
        <v>0.247047061</v>
      </c>
      <c r="M4" s="2">
        <f t="shared" si="6"/>
        <v>0.2198472967</v>
      </c>
      <c r="N4" s="2">
        <f t="shared" si="6"/>
        <v>0.2045078339</v>
      </c>
      <c r="O4" s="2">
        <f t="shared" si="6"/>
        <v>0.03563331724</v>
      </c>
      <c r="P4" s="2">
        <f t="shared" si="6"/>
        <v>0.1090683255</v>
      </c>
      <c r="Q4" s="3">
        <f t="shared" ref="Q4:W4" si="7"> J4 * C$1</f>
        <v>0.4436534075</v>
      </c>
      <c r="R4" s="3">
        <f t="shared" si="7"/>
        <v>1.006476975</v>
      </c>
      <c r="S4" s="3">
        <f t="shared" si="7"/>
        <v>1.976376488</v>
      </c>
      <c r="T4" s="3">
        <f t="shared" si="7"/>
        <v>3.517556746</v>
      </c>
      <c r="U4" s="3">
        <f t="shared" si="7"/>
        <v>6.544250683</v>
      </c>
      <c r="V4" s="3">
        <f t="shared" si="7"/>
        <v>2.280532303</v>
      </c>
      <c r="W4" s="3">
        <f t="shared" si="7"/>
        <v>13.96074567</v>
      </c>
      <c r="X4" s="4">
        <f t="shared" si="5"/>
        <v>256</v>
      </c>
    </row>
    <row r="5">
      <c r="A5" s="1">
        <v>9.0</v>
      </c>
      <c r="B5" s="1">
        <v>0.7</v>
      </c>
      <c r="C5" s="1">
        <v>1.511402</v>
      </c>
      <c r="D5" s="1">
        <v>0.684286</v>
      </c>
      <c r="E5" s="1">
        <v>0.350818</v>
      </c>
      <c r="F5" s="1">
        <v>0.177064</v>
      </c>
      <c r="G5" s="1">
        <v>0.09514</v>
      </c>
      <c r="H5" s="1">
        <v>0.16365</v>
      </c>
      <c r="I5" s="1">
        <v>0.04593</v>
      </c>
      <c r="J5" s="2">
        <f t="shared" ref="J5:P5" si="8"> ($B5 / (C5*C$1))</f>
        <v>0.2315730692</v>
      </c>
      <c r="K5" s="2">
        <f t="shared" si="8"/>
        <v>0.2557410206</v>
      </c>
      <c r="L5" s="2">
        <f t="shared" si="8"/>
        <v>0.2494170767</v>
      </c>
      <c r="M5" s="2">
        <f t="shared" si="8"/>
        <v>0.2470857995</v>
      </c>
      <c r="N5" s="2">
        <f t="shared" si="8"/>
        <v>0.2299243221</v>
      </c>
      <c r="O5" s="2">
        <f t="shared" si="8"/>
        <v>0.06683470822</v>
      </c>
      <c r="P5" s="2">
        <f t="shared" si="8"/>
        <v>0.1190670586</v>
      </c>
      <c r="Q5" s="3">
        <f t="shared" ref="Q5:W5" si="9"> J5 * C$1</f>
        <v>0.4631461385</v>
      </c>
      <c r="R5" s="3">
        <f t="shared" si="9"/>
        <v>1.022964082</v>
      </c>
      <c r="S5" s="3">
        <f t="shared" si="9"/>
        <v>1.995336613</v>
      </c>
      <c r="T5" s="3">
        <f t="shared" si="9"/>
        <v>3.953372792</v>
      </c>
      <c r="U5" s="3">
        <f t="shared" si="9"/>
        <v>7.357578306</v>
      </c>
      <c r="V5" s="3">
        <f t="shared" si="9"/>
        <v>4.277421326</v>
      </c>
      <c r="W5" s="3">
        <f t="shared" si="9"/>
        <v>15.2405835</v>
      </c>
      <c r="X5" s="4">
        <f t="shared" si="5"/>
        <v>512</v>
      </c>
    </row>
    <row r="6">
      <c r="A6" s="1">
        <v>10.0</v>
      </c>
      <c r="B6" s="1">
        <v>2.81</v>
      </c>
      <c r="C6" s="1">
        <v>6.000446</v>
      </c>
      <c r="D6" s="1">
        <v>2.69157</v>
      </c>
      <c r="E6" s="1">
        <v>1.385533</v>
      </c>
      <c r="F6" s="1">
        <v>0.739009</v>
      </c>
      <c r="G6" s="1">
        <v>0.377441</v>
      </c>
      <c r="H6" s="1">
        <v>0.505639</v>
      </c>
      <c r="I6" s="1">
        <v>0.172357</v>
      </c>
      <c r="J6" s="2">
        <f t="shared" ref="J6:P6" si="10"> ($B6 / (C6*C$1))</f>
        <v>0.2341492616</v>
      </c>
      <c r="K6" s="2">
        <f t="shared" si="10"/>
        <v>0.2610000855</v>
      </c>
      <c r="L6" s="2">
        <f t="shared" si="10"/>
        <v>0.2535125472</v>
      </c>
      <c r="M6" s="2">
        <f t="shared" si="10"/>
        <v>0.2376493385</v>
      </c>
      <c r="N6" s="2">
        <f t="shared" si="10"/>
        <v>0.2326522556</v>
      </c>
      <c r="O6" s="2">
        <f t="shared" si="10"/>
        <v>0.08683319522</v>
      </c>
      <c r="P6" s="2">
        <f t="shared" si="10"/>
        <v>0.1273700807</v>
      </c>
      <c r="Q6" s="3">
        <f t="shared" ref="Q6:W6" si="11"> J6 * C$1</f>
        <v>0.4682985231</v>
      </c>
      <c r="R6" s="3">
        <f t="shared" si="11"/>
        <v>1.044000342</v>
      </c>
      <c r="S6" s="3">
        <f t="shared" si="11"/>
        <v>2.028100377</v>
      </c>
      <c r="T6" s="3">
        <f t="shared" si="11"/>
        <v>3.802389416</v>
      </c>
      <c r="U6" s="3">
        <f t="shared" si="11"/>
        <v>7.444872179</v>
      </c>
      <c r="V6" s="3">
        <f t="shared" si="11"/>
        <v>5.557324494</v>
      </c>
      <c r="W6" s="3">
        <f t="shared" si="11"/>
        <v>16.30337033</v>
      </c>
      <c r="X6" s="4">
        <f t="shared" si="5"/>
        <v>1024</v>
      </c>
    </row>
    <row r="7">
      <c r="A7" s="1">
        <v>11.0</v>
      </c>
      <c r="B7" s="1">
        <v>11.26</v>
      </c>
      <c r="C7" s="1">
        <v>23.940259</v>
      </c>
      <c r="D7" s="1">
        <v>10.213177</v>
      </c>
      <c r="E7" s="1">
        <v>5.50074</v>
      </c>
      <c r="F7" s="1">
        <v>2.742596</v>
      </c>
      <c r="G7" s="1">
        <v>1.507415</v>
      </c>
      <c r="H7" s="1">
        <v>1.632777</v>
      </c>
      <c r="I7" s="1">
        <v>0.701106</v>
      </c>
      <c r="J7" s="2">
        <f t="shared" ref="J7:P7" si="12"> ($B7 / (C7*C$1))</f>
        <v>0.2351687173</v>
      </c>
      <c r="K7" s="2">
        <f t="shared" si="12"/>
        <v>0.2756243234</v>
      </c>
      <c r="L7" s="2">
        <f t="shared" si="12"/>
        <v>0.2558746641</v>
      </c>
      <c r="M7" s="2">
        <f t="shared" si="12"/>
        <v>0.2565999513</v>
      </c>
      <c r="N7" s="2">
        <f t="shared" si="12"/>
        <v>0.2334294139</v>
      </c>
      <c r="O7" s="2">
        <f t="shared" si="12"/>
        <v>0.1077535389</v>
      </c>
      <c r="P7" s="2">
        <f t="shared" si="12"/>
        <v>0.125471398</v>
      </c>
      <c r="Q7" s="3">
        <f t="shared" ref="Q7:W7" si="13"> J7 * C$1</f>
        <v>0.4703374345</v>
      </c>
      <c r="R7" s="3">
        <f t="shared" si="13"/>
        <v>1.102497293</v>
      </c>
      <c r="S7" s="3">
        <f t="shared" si="13"/>
        <v>2.046997313</v>
      </c>
      <c r="T7" s="3">
        <f t="shared" si="13"/>
        <v>4.105599221</v>
      </c>
      <c r="U7" s="3">
        <f t="shared" si="13"/>
        <v>7.469741246</v>
      </c>
      <c r="V7" s="3">
        <f t="shared" si="13"/>
        <v>6.89622649</v>
      </c>
      <c r="W7" s="3">
        <f t="shared" si="13"/>
        <v>16.06033895</v>
      </c>
      <c r="X7" s="4">
        <f t="shared" si="5"/>
        <v>2048</v>
      </c>
    </row>
    <row r="8">
      <c r="A8" s="1">
        <v>12.0</v>
      </c>
      <c r="B8" s="1">
        <v>45.16</v>
      </c>
      <c r="C8" s="1">
        <v>95.753388</v>
      </c>
      <c r="D8" s="1">
        <v>40.370416</v>
      </c>
      <c r="E8" s="1">
        <v>20.735533</v>
      </c>
      <c r="F8" s="1">
        <v>10.747956</v>
      </c>
      <c r="G8" s="1">
        <v>5.926834</v>
      </c>
      <c r="H8" s="1">
        <v>5.628886</v>
      </c>
      <c r="I8" s="1">
        <v>2.851262</v>
      </c>
      <c r="J8" s="2">
        <f t="shared" ref="J8:P8" si="14"> ($B8 / (C8*C$1))</f>
        <v>0.2358141103</v>
      </c>
      <c r="K8" s="2">
        <f t="shared" si="14"/>
        <v>0.2796602344</v>
      </c>
      <c r="L8" s="2">
        <f t="shared" si="14"/>
        <v>0.2722379984</v>
      </c>
      <c r="M8" s="2">
        <f t="shared" si="14"/>
        <v>0.2626080717</v>
      </c>
      <c r="N8" s="2">
        <f t="shared" si="14"/>
        <v>0.2381119498</v>
      </c>
      <c r="O8" s="2">
        <f t="shared" si="14"/>
        <v>0.1253578417</v>
      </c>
      <c r="P8" s="2">
        <f t="shared" si="14"/>
        <v>0.1237390671</v>
      </c>
      <c r="Q8" s="3">
        <f t="shared" ref="Q8:W8" si="15"> J8 * C$1</f>
        <v>0.4716282206</v>
      </c>
      <c r="R8" s="3">
        <f t="shared" si="15"/>
        <v>1.118640937</v>
      </c>
      <c r="S8" s="3">
        <f t="shared" si="15"/>
        <v>2.177903987</v>
      </c>
      <c r="T8" s="3">
        <f t="shared" si="15"/>
        <v>4.201729147</v>
      </c>
      <c r="U8" s="3">
        <f t="shared" si="15"/>
        <v>7.619582394</v>
      </c>
      <c r="V8" s="3">
        <f t="shared" si="15"/>
        <v>8.022901867</v>
      </c>
      <c r="W8" s="3">
        <f t="shared" si="15"/>
        <v>15.83860059</v>
      </c>
      <c r="X8" s="4">
        <f t="shared" si="5"/>
        <v>4096</v>
      </c>
    </row>
    <row r="9">
      <c r="A9" s="1">
        <v>13.0</v>
      </c>
      <c r="B9" s="1">
        <v>180.64</v>
      </c>
      <c r="C9" s="1">
        <v>382.717585</v>
      </c>
      <c r="D9" s="1">
        <v>161.202204</v>
      </c>
      <c r="E9" s="1">
        <v>82.209929</v>
      </c>
      <c r="F9" s="1">
        <v>42.584028</v>
      </c>
      <c r="G9" s="1">
        <v>23.27955</v>
      </c>
      <c r="H9" s="1">
        <v>20.605076</v>
      </c>
      <c r="I9" s="1">
        <v>11.844028</v>
      </c>
      <c r="J9" s="2">
        <f t="shared" ref="J9:P9" si="16"> ($B9 / (C9*C$1))</f>
        <v>0.2359964724</v>
      </c>
      <c r="K9" s="2">
        <f t="shared" si="16"/>
        <v>0.2801450531</v>
      </c>
      <c r="L9" s="2">
        <f t="shared" si="16"/>
        <v>0.274662687</v>
      </c>
      <c r="M9" s="2">
        <f t="shared" si="16"/>
        <v>0.2651228766</v>
      </c>
      <c r="N9" s="2">
        <f t="shared" si="16"/>
        <v>0.2424875051</v>
      </c>
      <c r="O9" s="2">
        <f t="shared" si="16"/>
        <v>0.13698081</v>
      </c>
      <c r="P9" s="2">
        <f t="shared" si="16"/>
        <v>0.119152876</v>
      </c>
      <c r="Q9" s="3">
        <f t="shared" ref="Q9:W9" si="17"> J9 * C$1</f>
        <v>0.4719929449</v>
      </c>
      <c r="R9" s="3">
        <f t="shared" si="17"/>
        <v>1.120580212</v>
      </c>
      <c r="S9" s="3">
        <f t="shared" si="17"/>
        <v>2.197301496</v>
      </c>
      <c r="T9" s="3">
        <f t="shared" si="17"/>
        <v>4.241966025</v>
      </c>
      <c r="U9" s="3">
        <f t="shared" si="17"/>
        <v>7.759600164</v>
      </c>
      <c r="V9" s="3">
        <f t="shared" si="17"/>
        <v>8.766771838</v>
      </c>
      <c r="W9" s="3">
        <f t="shared" si="17"/>
        <v>15.25156813</v>
      </c>
      <c r="X9" s="4">
        <f t="shared" si="5"/>
        <v>8192</v>
      </c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</sheetData>
  <drawing r:id="rId1"/>
</worksheet>
</file>