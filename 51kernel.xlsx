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1cores" sheetId="1" r:id="rId4"/>
  </sheets>
  <definedNames/>
  <calcPr/>
</workbook>
</file>

<file path=xl/sharedStrings.xml><?xml version="1.0" encoding="utf-8"?>
<sst xmlns="http://schemas.openxmlformats.org/spreadsheetml/2006/main" count="17" uniqueCount="17">
  <si>
    <t>n</t>
  </si>
  <si>
    <t>Sequential Time (microseconds)</t>
  </si>
  <si>
    <t>2 eff</t>
  </si>
  <si>
    <t>4 eff</t>
  </si>
  <si>
    <t>8 eff</t>
  </si>
  <si>
    <t>16 eff</t>
  </si>
  <si>
    <t>32 eff</t>
  </si>
  <si>
    <t>64 eff</t>
  </si>
  <si>
    <t>128 eff</t>
  </si>
  <si>
    <t xml:space="preserve"> 2 s</t>
  </si>
  <si>
    <t>4 s</t>
  </si>
  <si>
    <t>8 s</t>
  </si>
  <si>
    <t>16 s</t>
  </si>
  <si>
    <t>32 s</t>
  </si>
  <si>
    <t>64 s</t>
  </si>
  <si>
    <t>128 s</t>
  </si>
  <si>
    <t>matsize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</si>
</sst>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2.0</v>
      </c>
      <c r="D1" s="2">
        <v>4.0</v>
      </c>
      <c r="E1" s="2">
        <v>8.0</v>
      </c>
      <c r="F1" s="2">
        <v>16.0</v>
      </c>
      <c r="G1" s="2">
        <v>32.0</v>
      </c>
      <c r="H1" s="2">
        <v>64.0</v>
      </c>
      <c r="I1" s="2">
        <v>128.0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</row>
    <row r="2">
      <c r="A2" s="1">
        <v>6.0</v>
      </c>
      <c r="B2" s="1">
        <v>0.05</v>
      </c>
      <c r="C2" s="1">
        <v>0.111976</v>
      </c>
      <c r="D2" s="1">
        <v>0.053988</v>
      </c>
      <c r="E2" s="1">
        <v>0.028206</v>
      </c>
      <c r="F2" s="1">
        <v>0.015616</v>
      </c>
      <c r="G2" s="1">
        <v>0.009006</v>
      </c>
      <c r="H2" s="1">
        <v>0.033015</v>
      </c>
      <c r="I2" s="1">
        <v>0.002987</v>
      </c>
      <c r="J2" s="4">
        <f t="shared" ref="J2:P2" si="1"> ($B2 / (C2*C$1))</f>
        <v>0.2232621276</v>
      </c>
      <c r="K2" s="4">
        <f t="shared" si="1"/>
        <v>0.2315329332</v>
      </c>
      <c r="L2" s="4">
        <f t="shared" si="1"/>
        <v>0.2215840601</v>
      </c>
      <c r="M2" s="4">
        <f t="shared" si="1"/>
        <v>0.2001152664</v>
      </c>
      <c r="N2" s="4">
        <f t="shared" si="1"/>
        <v>0.1734954475</v>
      </c>
      <c r="O2" s="4">
        <f t="shared" si="1"/>
        <v>0.02366348629</v>
      </c>
      <c r="P2" s="4">
        <f t="shared" si="1"/>
        <v>0.1307750251</v>
      </c>
      <c r="Q2" s="4">
        <f t="shared" ref="Q2:W2" si="2"> J2 * C$1</f>
        <v>0.4465242552</v>
      </c>
      <c r="R2" s="4">
        <f t="shared" si="2"/>
        <v>0.926131733</v>
      </c>
      <c r="S2" s="4">
        <f t="shared" si="2"/>
        <v>1.772672481</v>
      </c>
      <c r="T2" s="4">
        <f t="shared" si="2"/>
        <v>3.201844262</v>
      </c>
      <c r="U2" s="4">
        <f t="shared" si="2"/>
        <v>5.551854319</v>
      </c>
      <c r="V2" s="4">
        <f t="shared" si="2"/>
        <v>1.514463123</v>
      </c>
      <c r="W2" s="4">
        <f t="shared" si="2"/>
        <v>16.73920321</v>
      </c>
      <c r="X2" s="5">
        <f t="shared" ref="X2:X9" si="5"> 2 ^ (A2)</f>
        <v>64</v>
      </c>
    </row>
    <row r="3">
      <c r="A3" s="1">
        <v>7.0</v>
      </c>
      <c r="B3" s="1">
        <v>0.18</v>
      </c>
      <c r="C3" s="1">
        <v>0.429217</v>
      </c>
      <c r="D3" s="1">
        <v>0.204105</v>
      </c>
      <c r="E3" s="1">
        <v>0.100824</v>
      </c>
      <c r="F3" s="1">
        <v>0.051829</v>
      </c>
      <c r="G3" s="1">
        <v>0.027405</v>
      </c>
      <c r="H3" s="1">
        <v>0.057106</v>
      </c>
      <c r="I3" s="1">
        <v>0.011909</v>
      </c>
      <c r="J3" s="4">
        <f t="shared" ref="J3:P3" si="3"> ($B3 / (C3*C$1))</f>
        <v>0.2096841458</v>
      </c>
      <c r="K3" s="4">
        <f t="shared" si="3"/>
        <v>0.2204747556</v>
      </c>
      <c r="L3" s="4">
        <f t="shared" si="3"/>
        <v>0.2231611521</v>
      </c>
      <c r="M3" s="4">
        <f t="shared" si="3"/>
        <v>0.2170599471</v>
      </c>
      <c r="N3" s="4">
        <f t="shared" si="3"/>
        <v>0.2052545156</v>
      </c>
      <c r="O3" s="4">
        <f t="shared" si="3"/>
        <v>0.04925051658</v>
      </c>
      <c r="P3" s="4">
        <f t="shared" si="3"/>
        <v>0.1180829625</v>
      </c>
      <c r="Q3" s="4">
        <f t="shared" ref="Q3:W3" si="4"> J3 * C$1</f>
        <v>0.4193682916</v>
      </c>
      <c r="R3" s="4">
        <f t="shared" si="4"/>
        <v>0.8818990226</v>
      </c>
      <c r="S3" s="4">
        <f t="shared" si="4"/>
        <v>1.785289217</v>
      </c>
      <c r="T3" s="4">
        <f t="shared" si="4"/>
        <v>3.472959154</v>
      </c>
      <c r="U3" s="4">
        <f t="shared" si="4"/>
        <v>6.568144499</v>
      </c>
      <c r="V3" s="4">
        <f t="shared" si="4"/>
        <v>3.152033061</v>
      </c>
      <c r="W3" s="4">
        <f t="shared" si="4"/>
        <v>15.1146192</v>
      </c>
      <c r="X3" s="5">
        <f t="shared" si="5"/>
        <v>128</v>
      </c>
    </row>
    <row r="4">
      <c r="A4" s="1">
        <v>8.0</v>
      </c>
      <c r="B4" s="1">
        <v>0.71</v>
      </c>
      <c r="C4" s="1">
        <v>1.634564</v>
      </c>
      <c r="D4" s="1">
        <v>0.743751</v>
      </c>
      <c r="E4" s="1">
        <v>0.37485</v>
      </c>
      <c r="F4" s="1">
        <v>0.185985</v>
      </c>
      <c r="G4" s="1">
        <v>0.099816</v>
      </c>
      <c r="H4" s="1">
        <v>0.154398</v>
      </c>
      <c r="I4" s="1">
        <v>0.037527</v>
      </c>
      <c r="J4" s="4">
        <f t="shared" ref="J4:P4" si="6"> ($B4 / (C4*C$1))</f>
        <v>0.2171832978</v>
      </c>
      <c r="K4" s="4">
        <f t="shared" si="6"/>
        <v>0.2386551413</v>
      </c>
      <c r="L4" s="4">
        <f t="shared" si="6"/>
        <v>0.2367613712</v>
      </c>
      <c r="M4" s="4">
        <f t="shared" si="6"/>
        <v>0.2385945103</v>
      </c>
      <c r="N4" s="4">
        <f t="shared" si="6"/>
        <v>0.2222840026</v>
      </c>
      <c r="O4" s="4">
        <f t="shared" si="6"/>
        <v>0.07185164316</v>
      </c>
      <c r="P4" s="4">
        <f t="shared" si="6"/>
        <v>0.1478102433</v>
      </c>
      <c r="Q4" s="4">
        <f t="shared" ref="Q4:W4" si="7"> J4 * C$1</f>
        <v>0.4343665956</v>
      </c>
      <c r="R4" s="4">
        <f t="shared" si="7"/>
        <v>0.9546205652</v>
      </c>
      <c r="S4" s="4">
        <f t="shared" si="7"/>
        <v>1.89409097</v>
      </c>
      <c r="T4" s="4">
        <f t="shared" si="7"/>
        <v>3.817512165</v>
      </c>
      <c r="U4" s="4">
        <f t="shared" si="7"/>
        <v>7.113088082</v>
      </c>
      <c r="V4" s="4">
        <f t="shared" si="7"/>
        <v>4.598505162</v>
      </c>
      <c r="W4" s="4">
        <f t="shared" si="7"/>
        <v>18.91971114</v>
      </c>
      <c r="X4" s="5">
        <f t="shared" si="5"/>
        <v>256</v>
      </c>
    </row>
    <row r="5">
      <c r="A5" s="1">
        <v>9.0</v>
      </c>
      <c r="B5" s="1">
        <v>2.94</v>
      </c>
      <c r="C5" s="1">
        <v>6.359641</v>
      </c>
      <c r="D5" s="1">
        <v>2.842359</v>
      </c>
      <c r="E5" s="1">
        <v>1.408329</v>
      </c>
      <c r="F5" s="1">
        <v>0.702081</v>
      </c>
      <c r="G5" s="1">
        <v>0.365534</v>
      </c>
      <c r="H5" s="1">
        <v>0.455827</v>
      </c>
      <c r="I5" s="1">
        <v>0.131466</v>
      </c>
      <c r="J5" s="4">
        <f t="shared" ref="J5:P5" si="8"> ($B5 / (C5*C$1))</f>
        <v>0.2311451228</v>
      </c>
      <c r="K5" s="4">
        <f t="shared" si="8"/>
        <v>0.2585880249</v>
      </c>
      <c r="L5" s="4">
        <f t="shared" si="8"/>
        <v>0.2609475485</v>
      </c>
      <c r="M5" s="4">
        <f t="shared" si="8"/>
        <v>0.2617219381</v>
      </c>
      <c r="N5" s="4">
        <f t="shared" si="8"/>
        <v>0.2513446082</v>
      </c>
      <c r="O5" s="4">
        <f t="shared" si="8"/>
        <v>0.1007783655</v>
      </c>
      <c r="P5" s="4">
        <f t="shared" si="8"/>
        <v>0.1747124732</v>
      </c>
      <c r="Q5" s="4">
        <f t="shared" ref="Q5:W5" si="9"> J5 * C$1</f>
        <v>0.4622902456</v>
      </c>
      <c r="R5" s="4">
        <f t="shared" si="9"/>
        <v>1.0343521</v>
      </c>
      <c r="S5" s="4">
        <f t="shared" si="9"/>
        <v>2.087580388</v>
      </c>
      <c r="T5" s="4">
        <f t="shared" si="9"/>
        <v>4.187551009</v>
      </c>
      <c r="U5" s="4">
        <f t="shared" si="9"/>
        <v>8.043027461</v>
      </c>
      <c r="V5" s="4">
        <f t="shared" si="9"/>
        <v>6.44981539</v>
      </c>
      <c r="W5" s="4">
        <f t="shared" si="9"/>
        <v>22.36319657</v>
      </c>
      <c r="X5" s="5">
        <f t="shared" si="5"/>
        <v>512</v>
      </c>
    </row>
    <row r="6">
      <c r="A6" s="1">
        <v>10.0</v>
      </c>
      <c r="B6" s="1">
        <v>11.71</v>
      </c>
      <c r="C6" s="1">
        <v>25.086502</v>
      </c>
      <c r="D6" s="1">
        <v>10.803695</v>
      </c>
      <c r="E6" s="1">
        <v>5.536234</v>
      </c>
      <c r="F6" s="1">
        <v>2.746188</v>
      </c>
      <c r="G6" s="1">
        <v>1.4011</v>
      </c>
      <c r="H6" s="1">
        <v>1.640868</v>
      </c>
      <c r="I6" s="1">
        <v>0.501472</v>
      </c>
      <c r="J6" s="4">
        <f t="shared" ref="J6:P6" si="10"> ($B6 / (C6*C$1))</f>
        <v>0.2333924435</v>
      </c>
      <c r="K6" s="4">
        <f t="shared" si="10"/>
        <v>0.2709721072</v>
      </c>
      <c r="L6" s="4">
        <f t="shared" si="10"/>
        <v>0.2643945325</v>
      </c>
      <c r="M6" s="4">
        <f t="shared" si="10"/>
        <v>0.2665057891</v>
      </c>
      <c r="N6" s="4">
        <f t="shared" si="10"/>
        <v>0.2611787167</v>
      </c>
      <c r="O6" s="4">
        <f t="shared" si="10"/>
        <v>0.1115072937</v>
      </c>
      <c r="P6" s="4">
        <f t="shared" si="10"/>
        <v>0.1824316712</v>
      </c>
      <c r="Q6" s="4">
        <f t="shared" ref="Q6:W6" si="11"> J6 * C$1</f>
        <v>0.4667848869</v>
      </c>
      <c r="R6" s="4">
        <f t="shared" si="11"/>
        <v>1.083888429</v>
      </c>
      <c r="S6" s="4">
        <f t="shared" si="11"/>
        <v>2.11515626</v>
      </c>
      <c r="T6" s="4">
        <f t="shared" si="11"/>
        <v>4.264092626</v>
      </c>
      <c r="U6" s="4">
        <f t="shared" si="11"/>
        <v>8.357718935</v>
      </c>
      <c r="V6" s="4">
        <f t="shared" si="11"/>
        <v>7.136466797</v>
      </c>
      <c r="W6" s="4">
        <f t="shared" si="11"/>
        <v>23.35125391</v>
      </c>
      <c r="X6" s="5">
        <f t="shared" si="5"/>
        <v>1024</v>
      </c>
    </row>
    <row r="7">
      <c r="A7" s="1">
        <v>11.0</v>
      </c>
      <c r="B7" s="1">
        <v>46.96</v>
      </c>
      <c r="C7" s="1">
        <v>99.570267</v>
      </c>
      <c r="D7" s="1">
        <v>42.255876</v>
      </c>
      <c r="E7" s="1">
        <v>21.648079</v>
      </c>
      <c r="F7" s="1">
        <v>10.64968</v>
      </c>
      <c r="G7" s="1">
        <v>5.518049</v>
      </c>
      <c r="H7" s="1">
        <v>4.723325</v>
      </c>
      <c r="I7" s="1">
        <v>1.91466</v>
      </c>
      <c r="J7" s="4">
        <f t="shared" ref="J7:P7" si="12"> ($B7 / (C7*C$1))</f>
        <v>0.2358133679</v>
      </c>
      <c r="K7" s="4">
        <f t="shared" si="12"/>
        <v>0.2778311826</v>
      </c>
      <c r="L7" s="4">
        <f t="shared" si="12"/>
        <v>0.2711556993</v>
      </c>
      <c r="M7" s="4">
        <f t="shared" si="12"/>
        <v>0.2755951353</v>
      </c>
      <c r="N7" s="4">
        <f t="shared" si="12"/>
        <v>0.2659454456</v>
      </c>
      <c r="O7" s="4">
        <f t="shared" si="12"/>
        <v>0.1553460751</v>
      </c>
      <c r="P7" s="4">
        <f t="shared" si="12"/>
        <v>0.1916136546</v>
      </c>
      <c r="Q7" s="4">
        <f t="shared" ref="Q7:W7" si="13"> J7 * C$1</f>
        <v>0.4716267357</v>
      </c>
      <c r="R7" s="4">
        <f t="shared" si="13"/>
        <v>1.11132473</v>
      </c>
      <c r="S7" s="4">
        <f t="shared" si="13"/>
        <v>2.169245594</v>
      </c>
      <c r="T7" s="4">
        <f t="shared" si="13"/>
        <v>4.409522164</v>
      </c>
      <c r="U7" s="4">
        <f t="shared" si="13"/>
        <v>8.510254258</v>
      </c>
      <c r="V7" s="4">
        <f t="shared" si="13"/>
        <v>9.942148804</v>
      </c>
      <c r="W7" s="4">
        <f t="shared" si="13"/>
        <v>24.52654779</v>
      </c>
      <c r="X7" s="5">
        <f t="shared" si="5"/>
        <v>2048</v>
      </c>
    </row>
    <row r="8">
      <c r="A8" s="1">
        <v>12.0</v>
      </c>
      <c r="B8" s="1">
        <v>188.45</v>
      </c>
      <c r="C8" s="1">
        <v>397.047172</v>
      </c>
      <c r="D8" s="1">
        <v>166.922757</v>
      </c>
      <c r="E8" s="1">
        <v>83.947596</v>
      </c>
      <c r="F8" s="1">
        <v>42.269875</v>
      </c>
      <c r="G8" s="1">
        <v>21.744773</v>
      </c>
      <c r="H8" s="1">
        <v>17.940789</v>
      </c>
      <c r="I8" s="1">
        <v>7.545497</v>
      </c>
      <c r="J8" s="4">
        <f t="shared" ref="J8:P8" si="14"> ($B8 / (C8*C$1))</f>
        <v>0.2373143713</v>
      </c>
      <c r="K8" s="4">
        <f t="shared" si="14"/>
        <v>0.2822413244</v>
      </c>
      <c r="L8" s="4">
        <f t="shared" si="14"/>
        <v>0.2806066061</v>
      </c>
      <c r="M8" s="4">
        <f t="shared" si="14"/>
        <v>0.2786411126</v>
      </c>
      <c r="N8" s="4">
        <f t="shared" si="14"/>
        <v>0.2708265798</v>
      </c>
      <c r="O8" s="4">
        <f t="shared" si="14"/>
        <v>0.1641249585</v>
      </c>
      <c r="P8" s="4">
        <f t="shared" si="14"/>
        <v>0.1951184428</v>
      </c>
      <c r="Q8" s="4">
        <f t="shared" ref="Q8:W8" si="15"> J8 * C$1</f>
        <v>0.4746287426</v>
      </c>
      <c r="R8" s="4">
        <f t="shared" si="15"/>
        <v>1.128965297</v>
      </c>
      <c r="S8" s="4">
        <f t="shared" si="15"/>
        <v>2.244852848</v>
      </c>
      <c r="T8" s="4">
        <f t="shared" si="15"/>
        <v>4.458257802</v>
      </c>
      <c r="U8" s="4">
        <f t="shared" si="15"/>
        <v>8.666450553</v>
      </c>
      <c r="V8" s="4">
        <f t="shared" si="15"/>
        <v>10.50399734</v>
      </c>
      <c r="W8" s="4">
        <f t="shared" si="15"/>
        <v>24.97516068</v>
      </c>
      <c r="X8" s="5">
        <f t="shared" si="5"/>
        <v>4096</v>
      </c>
    </row>
    <row r="9">
      <c r="A9" s="1">
        <v>13.0</v>
      </c>
      <c r="B9" s="1">
        <v>754.48</v>
      </c>
      <c r="C9" s="1">
        <v>1586.101108</v>
      </c>
      <c r="D9" s="1">
        <v>664.457519</v>
      </c>
      <c r="E9" s="1">
        <v>333.920679</v>
      </c>
      <c r="F9" s="1">
        <v>168.286682</v>
      </c>
      <c r="G9" s="1">
        <v>86.06999</v>
      </c>
      <c r="H9" s="1">
        <v>72.491659</v>
      </c>
      <c r="I9" s="1">
        <v>29.620067</v>
      </c>
      <c r="J9" s="4">
        <f t="shared" ref="J9:P9" si="16"> ($B9 / (C9*C$1))</f>
        <v>0.2378410797</v>
      </c>
      <c r="K9" s="4">
        <f t="shared" si="16"/>
        <v>0.2838706683</v>
      </c>
      <c r="L9" s="4">
        <f t="shared" si="16"/>
        <v>0.2824323438</v>
      </c>
      <c r="M9" s="4">
        <f t="shared" si="16"/>
        <v>0.2802063683</v>
      </c>
      <c r="N9" s="4">
        <f t="shared" si="16"/>
        <v>0.273934039</v>
      </c>
      <c r="O9" s="4">
        <f t="shared" si="16"/>
        <v>0.1626221577</v>
      </c>
      <c r="P9" s="4">
        <f t="shared" si="16"/>
        <v>0.1989993811</v>
      </c>
      <c r="Q9" s="4">
        <f t="shared" ref="Q9:W9" si="17"> J9 * C$1</f>
        <v>0.4756821593</v>
      </c>
      <c r="R9" s="4">
        <f t="shared" si="17"/>
        <v>1.135482673</v>
      </c>
      <c r="S9" s="4">
        <f t="shared" si="17"/>
        <v>2.25945875</v>
      </c>
      <c r="T9" s="4">
        <f t="shared" si="17"/>
        <v>4.483301893</v>
      </c>
      <c r="U9" s="4">
        <f t="shared" si="17"/>
        <v>8.765889249</v>
      </c>
      <c r="V9" s="4">
        <f t="shared" si="17"/>
        <v>10.40781809</v>
      </c>
      <c r="W9" s="4">
        <f t="shared" si="17"/>
        <v>25.47192078</v>
      </c>
      <c r="X9" s="5">
        <f t="shared" si="5"/>
        <v>8192</v>
      </c>
    </row>
  </sheetData>
  <drawing r:id="rId1"/>
</worksheet>
</file>